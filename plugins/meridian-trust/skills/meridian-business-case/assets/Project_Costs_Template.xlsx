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V &amp; IRR Calcs" sheetId="1" state="visible" r:id="rId1"/>
    <sheet xmlns:r="http://schemas.openxmlformats.org/officeDocument/2006/relationships" name="Fin Benefits Assumptions Calcs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B4F80"/>
      <sz val="13"/>
    </font>
    <font>
      <name val="Arial"/>
      <i val="1"/>
      <color rgb="003A3F44"/>
      <sz val="9"/>
    </font>
    <font>
      <name val="Arial"/>
      <b val="1"/>
      <color rgb="00FFFFFF"/>
      <sz val="11"/>
    </font>
    <font>
      <name val="Arial"/>
      <b val="1"/>
      <color rgb="00083A5E"/>
      <sz val="10"/>
    </font>
    <font>
      <name val="Arial"/>
      <b val="1"/>
      <color rgb="003A3F44"/>
      <sz val="10"/>
    </font>
    <font>
      <name val="Arial"/>
      <color rgb="003A3F44"/>
      <sz val="10"/>
    </font>
    <font>
      <name val="Arial"/>
      <b val="1"/>
      <color rgb="00083A5E"/>
      <sz val="11"/>
    </font>
  </fonts>
  <fills count="7">
    <fill>
      <patternFill/>
    </fill>
    <fill>
      <patternFill patternType="gray125"/>
    </fill>
    <fill>
      <patternFill patternType="solid">
        <fgColor rgb="000B4F80"/>
      </patternFill>
    </fill>
    <fill>
      <patternFill patternType="solid">
        <fgColor rgb="00E9F0F6"/>
      </patternFill>
    </fill>
    <fill>
      <patternFill patternType="solid">
        <fgColor rgb="00D9DDE0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BEC4C9"/>
      </left>
      <right style="thin">
        <color rgb="00BEC4C9"/>
      </right>
      <top style="thin">
        <color rgb="00BEC4C9"/>
      </top>
      <bottom style="thin">
        <color rgb="00BEC4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4" fontId="5" fillId="4" borderId="1" pivotButton="0" quotePrefix="0" xfId="0"/>
    <xf numFmtId="0" fontId="6" fillId="0" borderId="1" pivotButton="0" quotePrefix="0" xfId="0"/>
    <xf numFmtId="4" fontId="6" fillId="5" borderId="1" pivotButton="0" quotePrefix="0" xfId="0"/>
    <xf numFmtId="4" fontId="6" fillId="4" borderId="1" pivotButton="0" quotePrefix="0" xfId="0"/>
    <xf numFmtId="164" fontId="6" fillId="4" borderId="1" pivotButton="0" quotePrefix="0" xfId="0"/>
    <xf numFmtId="9" fontId="6" fillId="4" borderId="1" pivotButton="0" quotePrefix="0" xfId="0"/>
    <xf numFmtId="0" fontId="6" fillId="4" borderId="1" pivotButton="0" quotePrefix="0" xfId="0"/>
    <xf numFmtId="0" fontId="3" fillId="2" borderId="1" applyAlignment="1" pivotButton="0" quotePrefix="0" xfId="0">
      <alignment vertical="center" wrapText="1"/>
    </xf>
    <xf numFmtId="0" fontId="6" fillId="6" borderId="1" pivotButton="0" quotePrefix="0" xfId="0"/>
    <xf numFmtId="0" fontId="7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Project IRR &amp; NPV Calculation</t>
        </is>
      </c>
      <c r="C1" s="2" t="inlineStr">
        <is>
          <t>Millions (reporting currency)</t>
        </is>
      </c>
    </row>
    <row r="2">
      <c r="A2" s="3" t="inlineStr">
        <is>
          <t>Particulars</t>
        </is>
      </c>
      <c r="B2" s="3" t="inlineStr">
        <is>
          <t>Parameters</t>
        </is>
      </c>
      <c r="C2" s="4" t="n">
        <v>2026</v>
      </c>
      <c r="D2" s="4">
        <f>SUM(C2+1)</f>
        <v/>
      </c>
      <c r="E2" s="4">
        <f>SUM(D2+1)</f>
        <v/>
      </c>
      <c r="F2" s="4">
        <f>SUM(E2+1)</f>
        <v/>
      </c>
      <c r="G2" s="4">
        <f>SUM(F2+1)</f>
        <v/>
      </c>
      <c r="H2" s="4">
        <f>SUM(G2+1)</f>
        <v/>
      </c>
      <c r="I2" s="4" t="inlineStr">
        <is>
          <t>Total</t>
        </is>
      </c>
    </row>
    <row r="3">
      <c r="A3" s="5" t="inlineStr">
        <is>
          <t>Revenues from Products / Services</t>
        </is>
      </c>
      <c r="B3" s="6" t="n"/>
      <c r="C3" s="6">
        <f>SUM(C4:C6)</f>
        <v/>
      </c>
      <c r="D3" s="6">
        <f>SUM(D4:D6)</f>
        <v/>
      </c>
      <c r="E3" s="6">
        <f>SUM(E4:E6)</f>
        <v/>
      </c>
      <c r="F3" s="6">
        <f>SUM(F4:F6)</f>
        <v/>
      </c>
      <c r="G3" s="6">
        <f>SUM(G4:G6)</f>
        <v/>
      </c>
      <c r="H3" s="6">
        <f>SUM(H4:H6)</f>
        <v/>
      </c>
      <c r="I3" s="6">
        <f>SUM(C3:H3)</f>
        <v/>
      </c>
    </row>
    <row r="4">
      <c r="A4" s="7" t="inlineStr">
        <is>
          <t>Line Item 1</t>
        </is>
      </c>
      <c r="B4" s="8" t="n"/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>
        <f>SUM(C4:H4)</f>
        <v/>
      </c>
    </row>
    <row r="5">
      <c r="A5" s="7" t="inlineStr">
        <is>
          <t>Line Item 2</t>
        </is>
      </c>
      <c r="B5" s="8" t="n"/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>
        <f>SUM(C5:H5)</f>
        <v/>
      </c>
    </row>
    <row r="6">
      <c r="A6" s="7" t="inlineStr">
        <is>
          <t>Line Item 3</t>
        </is>
      </c>
      <c r="B6" s="8" t="n"/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>
        <f>SUM(C6:H6)</f>
        <v/>
      </c>
    </row>
    <row r="7">
      <c r="A7" s="5" t="inlineStr">
        <is>
          <t>Cost Savings</t>
        </is>
      </c>
      <c r="B7" s="6" t="n"/>
      <c r="C7" s="6">
        <f>SUM(C8:C10)</f>
        <v/>
      </c>
      <c r="D7" s="6">
        <f>SUM(D8:D10)</f>
        <v/>
      </c>
      <c r="E7" s="6">
        <f>SUM(E8:E10)</f>
        <v/>
      </c>
      <c r="F7" s="6">
        <f>SUM(F8:F10)</f>
        <v/>
      </c>
      <c r="G7" s="6">
        <f>SUM(G8:G10)</f>
        <v/>
      </c>
      <c r="H7" s="6">
        <f>SUM(H8:H10)</f>
        <v/>
      </c>
      <c r="I7" s="6">
        <f>SUM(C7:H7)</f>
        <v/>
      </c>
    </row>
    <row r="8">
      <c r="A8" s="7" t="inlineStr">
        <is>
          <t>Line Item 1</t>
        </is>
      </c>
      <c r="B8" s="8" t="n"/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>
        <f>SUM(C8:H8)</f>
        <v/>
      </c>
    </row>
    <row r="9">
      <c r="A9" s="7" t="inlineStr">
        <is>
          <t>Line Item 2</t>
        </is>
      </c>
      <c r="B9" s="8" t="n"/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>
        <f>SUM(C9:H9)</f>
        <v/>
      </c>
    </row>
    <row r="10">
      <c r="A10" s="7" t="inlineStr">
        <is>
          <t>Line Item 3</t>
        </is>
      </c>
      <c r="B10" s="8" t="n"/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>
        <f>SUM(C10:H10)</f>
        <v/>
      </c>
    </row>
    <row r="11">
      <c r="A11" s="5" t="inlineStr">
        <is>
          <t>Other Benefits</t>
        </is>
      </c>
      <c r="B11" s="6" t="n"/>
      <c r="C11" s="6">
        <f>SUM(C12:C14)</f>
        <v/>
      </c>
      <c r="D11" s="6">
        <f>SUM(D12:D14)</f>
        <v/>
      </c>
      <c r="E11" s="6">
        <f>SUM(E12:E14)</f>
        <v/>
      </c>
      <c r="F11" s="6">
        <f>SUM(F12:F14)</f>
        <v/>
      </c>
      <c r="G11" s="6">
        <f>SUM(G12:G14)</f>
        <v/>
      </c>
      <c r="H11" s="6">
        <f>SUM(H12:H14)</f>
        <v/>
      </c>
      <c r="I11" s="6">
        <f>SUM(C11:H11)</f>
        <v/>
      </c>
    </row>
    <row r="12">
      <c r="A12" s="7" t="inlineStr">
        <is>
          <t>Line Item 1</t>
        </is>
      </c>
      <c r="B12" s="8" t="n"/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>
        <f>SUM(C12:H12)</f>
        <v/>
      </c>
    </row>
    <row r="13">
      <c r="A13" s="7" t="inlineStr">
        <is>
          <t>Line Item 2</t>
        </is>
      </c>
      <c r="B13" s="8" t="n"/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>
        <f>SUM(C13:H13)</f>
        <v/>
      </c>
    </row>
    <row r="14">
      <c r="A14" s="7" t="inlineStr">
        <is>
          <t>Line Item 3</t>
        </is>
      </c>
      <c r="B14" s="8" t="n"/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>
        <f>SUM(C14:H14)</f>
        <v/>
      </c>
    </row>
    <row r="15">
      <c r="A15" s="5" t="inlineStr">
        <is>
          <t>Total Benefits (Cash Inflows)</t>
        </is>
      </c>
      <c r="B15" s="6" t="n"/>
      <c r="C15" s="6">
        <f>SUM(C3,C7,C11)</f>
        <v/>
      </c>
      <c r="D15" s="6">
        <f>SUM(D3,D7,D11)</f>
        <v/>
      </c>
      <c r="E15" s="6">
        <f>SUM(E3,E7,E11)</f>
        <v/>
      </c>
      <c r="F15" s="6">
        <f>SUM(F3,F7,F11)</f>
        <v/>
      </c>
      <c r="G15" s="6">
        <f>SUM(G3,G7,G11)</f>
        <v/>
      </c>
      <c r="H15" s="6">
        <f>SUM(H3,H7,H11)</f>
        <v/>
      </c>
      <c r="I15" s="6">
        <f>SUM(C15:H15)</f>
        <v/>
      </c>
    </row>
    <row r="16">
      <c r="A16" s="5" t="inlineStr">
        <is>
          <t>Project Capital Costs (CapEx)</t>
        </is>
      </c>
      <c r="B16" s="6" t="n"/>
      <c r="C16" s="6">
        <f>-SUM(C17:C25)</f>
        <v/>
      </c>
      <c r="D16" s="6">
        <f>-SUM(D17:D25)</f>
        <v/>
      </c>
      <c r="E16" s="6">
        <f>-SUM(E17:E25)</f>
        <v/>
      </c>
      <c r="F16" s="6">
        <f>-SUM(F17:F25)</f>
        <v/>
      </c>
      <c r="G16" s="6">
        <f>-SUM(G17:G25)</f>
        <v/>
      </c>
      <c r="H16" s="6">
        <f>-SUM(H17:H25)</f>
        <v/>
      </c>
      <c r="I16" s="6">
        <f>SUM(C16:H16)</f>
        <v/>
      </c>
    </row>
    <row r="17">
      <c r="A17" s="7" t="inlineStr">
        <is>
          <t>Software Application Cost</t>
        </is>
      </c>
      <c r="B17" s="8" t="n"/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>
        <f>SUM(C17:H17)</f>
        <v/>
      </c>
    </row>
    <row r="18">
      <c r="A18" s="7" t="inlineStr">
        <is>
          <t>Software Implementation Cost</t>
        </is>
      </c>
      <c r="B18" s="8" t="n"/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>
        <f>SUM(C18:H18)</f>
        <v/>
      </c>
    </row>
    <row r="19">
      <c r="A19" s="7" t="inlineStr">
        <is>
          <t>Professional Consultancy Services</t>
        </is>
      </c>
      <c r="B19" s="8" t="n"/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>
        <f>SUM(C19:H19)</f>
        <v/>
      </c>
    </row>
    <row r="20">
      <c r="A20" s="7" t="inlineStr">
        <is>
          <t>Temp Staff Cost for 12 months for IT Team - One time cost</t>
        </is>
      </c>
      <c r="B20" s="8" t="n"/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>
        <f>SUM(C20:H20)</f>
        <v/>
      </c>
    </row>
    <row r="21">
      <c r="A21" s="7" t="inlineStr">
        <is>
          <t>IT Infrastructure (Dedicated Servers)</t>
        </is>
      </c>
      <c r="B21" s="8" t="n"/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>
        <f>SUM(C21:H21)</f>
        <v/>
      </c>
    </row>
    <row r="22">
      <c r="A22" s="7" t="inlineStr">
        <is>
          <t>IT Infrastructure (Shared Servers, Processors, Storage, Database)</t>
        </is>
      </c>
      <c r="B22" s="8" t="n"/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>
        <f>SUM(C22:H22)</f>
        <v/>
      </c>
    </row>
    <row r="23">
      <c r="A23" s="7" t="inlineStr">
        <is>
          <t>Other Costs (______________)</t>
        </is>
      </c>
      <c r="B23" s="8" t="n"/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>
        <f>SUM(C23:H23)</f>
        <v/>
      </c>
    </row>
    <row r="24">
      <c r="A24" s="7" t="inlineStr">
        <is>
          <t>Contingency @ 10%</t>
        </is>
      </c>
      <c r="B24" s="8" t="n"/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>
        <f>SUM(C24:H24)</f>
        <v/>
      </c>
    </row>
    <row r="25">
      <c r="A25" s="7" t="inlineStr">
        <is>
          <t>Indirect Tax @ 5%</t>
        </is>
      </c>
      <c r="B25" s="8" t="n"/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>
        <f>SUM(C25:H25)</f>
        <v/>
      </c>
    </row>
    <row r="26">
      <c r="A26" s="5" t="inlineStr">
        <is>
          <t>Project Operating Costs (recurring P&amp;L costs) (OpEx)</t>
        </is>
      </c>
      <c r="B26" s="6" t="n"/>
      <c r="C26" s="6">
        <f>-SUM(C27:C36)</f>
        <v/>
      </c>
      <c r="D26" s="6">
        <f>-SUM(D27:D36)</f>
        <v/>
      </c>
      <c r="E26" s="6">
        <f>-SUM(E27:E36)</f>
        <v/>
      </c>
      <c r="F26" s="6">
        <f>-SUM(F27:F36)</f>
        <v/>
      </c>
      <c r="G26" s="6">
        <f>-SUM(G27:G36)</f>
        <v/>
      </c>
      <c r="H26" s="6">
        <f>-SUM(H27:H36)</f>
        <v/>
      </c>
      <c r="I26" s="6">
        <f>SUM(C26:H26)</f>
        <v/>
      </c>
    </row>
    <row r="27">
      <c r="A27" s="7" t="inlineStr">
        <is>
          <t>Data Protection / Immutable Storage</t>
        </is>
      </c>
      <c r="B27" s="8" t="n"/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>
        <f>SUM(C27:H27)</f>
        <v/>
      </c>
    </row>
    <row r="28">
      <c r="A28" s="7" t="inlineStr">
        <is>
          <t>Security Monitoring &amp; Compliance Tooling</t>
        </is>
      </c>
      <c r="B28" s="8" t="n"/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>
        <f>SUM(C28:H28)</f>
        <v/>
      </c>
    </row>
    <row r="29">
      <c r="A29" s="7" t="inlineStr">
        <is>
          <t>Network &amp; Connectivity Costs</t>
        </is>
      </c>
      <c r="B29" s="8" t="n"/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>
        <f>SUM(C29:H29)</f>
        <v/>
      </c>
    </row>
    <row r="30">
      <c r="A30" s="7" t="inlineStr">
        <is>
          <t>Training &amp; Recruitment</t>
        </is>
      </c>
      <c r="B30" s="8" t="n"/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>
        <f>SUM(C30:H30)</f>
        <v/>
      </c>
    </row>
    <row r="31">
      <c r="A31" s="7" t="inlineStr">
        <is>
          <t>Restructuring Costs</t>
        </is>
      </c>
      <c r="B31" s="8" t="n"/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>
        <f>SUM(C31:H31)</f>
        <v/>
      </c>
    </row>
    <row r="32">
      <c r="A32" s="7" t="inlineStr">
        <is>
          <t>Advertising &amp; Marketing</t>
        </is>
      </c>
      <c r="B32" s="8" t="n"/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>
        <f>SUM(C32:H32)</f>
        <v/>
      </c>
    </row>
    <row r="33">
      <c r="A33" s="7" t="inlineStr">
        <is>
          <t>Travel &amp; Daily Allowances</t>
        </is>
      </c>
      <c r="B33" s="8" t="n"/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>
        <f>SUM(C33:H33)</f>
        <v/>
      </c>
    </row>
    <row r="34">
      <c r="A34" s="7" t="inlineStr">
        <is>
          <t>Professional Consultancy Services</t>
        </is>
      </c>
      <c r="B34" s="8" t="n"/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>
        <f>SUM(C34:H34)</f>
        <v/>
      </c>
    </row>
    <row r="35">
      <c r="A35" s="7" t="inlineStr">
        <is>
          <t>Other Costs</t>
        </is>
      </c>
      <c r="B35" s="8" t="n"/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>
        <f>SUM(C35:H35)</f>
        <v/>
      </c>
    </row>
    <row r="36">
      <c r="A36" s="7" t="inlineStr">
        <is>
          <t>Indirect Tax @ 5%</t>
        </is>
      </c>
      <c r="B36" s="8" t="n"/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>
        <f>SUM(C36:H36)</f>
        <v/>
      </c>
    </row>
    <row r="37">
      <c r="A37" s="5" t="inlineStr">
        <is>
          <t>Total Costs (Cash Outflows)</t>
        </is>
      </c>
      <c r="B37" s="6" t="n"/>
      <c r="C37" s="6">
        <f>SUM(C16,C26)</f>
        <v/>
      </c>
      <c r="D37" s="6">
        <f>SUM(D16,D26)</f>
        <v/>
      </c>
      <c r="E37" s="6">
        <f>SUM(E16,E26)</f>
        <v/>
      </c>
      <c r="F37" s="6">
        <f>SUM(F16,F26)</f>
        <v/>
      </c>
      <c r="G37" s="6">
        <f>SUM(G16,G26)</f>
        <v/>
      </c>
      <c r="H37" s="6">
        <f>SUM(H16,H26)</f>
        <v/>
      </c>
      <c r="I37" s="6">
        <f>SUM(C37:H37)</f>
        <v/>
      </c>
    </row>
    <row r="38">
      <c r="A38" s="5" t="inlineStr">
        <is>
          <t>Net Cash Inflow / Outflow</t>
        </is>
      </c>
      <c r="B38" s="6" t="n"/>
      <c r="C38" s="6">
        <f>SUM(C15+C37)</f>
        <v/>
      </c>
      <c r="D38" s="6">
        <f>SUM(D15+D37)</f>
        <v/>
      </c>
      <c r="E38" s="6">
        <f>SUM(E15+E37)</f>
        <v/>
      </c>
      <c r="F38" s="6">
        <f>SUM(F15+F37)</f>
        <v/>
      </c>
      <c r="G38" s="6">
        <f>SUM(G15+G37)</f>
        <v/>
      </c>
      <c r="H38" s="6">
        <f>SUM(H15+H37)</f>
        <v/>
      </c>
      <c r="I38" s="6">
        <f>SUM(C38:H38)</f>
        <v/>
      </c>
    </row>
    <row r="39">
      <c r="A39" s="7" t="inlineStr">
        <is>
          <t>Internal Rate of Return (IRR)</t>
        </is>
      </c>
      <c r="B39" s="9" t="n"/>
      <c r="C39" s="10">
        <f>IFERROR(IRR(C38:H38,13%),0)</f>
        <v/>
      </c>
      <c r="D39" s="9" t="n"/>
      <c r="E39" s="9" t="n"/>
      <c r="F39" s="9" t="n"/>
      <c r="G39" s="9" t="n"/>
      <c r="H39" s="9" t="n"/>
      <c r="I39" s="9" t="n"/>
    </row>
    <row r="40">
      <c r="A40" s="7" t="inlineStr">
        <is>
          <t>Net Present Value (NPV) calculated @ 100% of Project Capital Cost</t>
        </is>
      </c>
      <c r="B40" s="11" t="n">
        <v>0.13</v>
      </c>
      <c r="C40" s="9">
        <f>NPV($B$40,C38:H38)</f>
        <v/>
      </c>
      <c r="D40" s="9" t="n"/>
      <c r="E40" s="9" t="n"/>
      <c r="F40" s="9" t="n"/>
      <c r="G40" s="9" t="n"/>
      <c r="H40" s="9" t="n"/>
      <c r="I40" s="9" t="n"/>
    </row>
    <row r="41">
      <c r="A41" s="7" t="inlineStr">
        <is>
          <t>Project Capital Costs @ 130% Capital Cost</t>
        </is>
      </c>
      <c r="B41" s="9" t="n"/>
      <c r="C41" s="9">
        <f>(C16)*1.3</f>
        <v/>
      </c>
      <c r="D41" s="9">
        <f>(D16)*1.3</f>
        <v/>
      </c>
      <c r="E41" s="9">
        <f>(E16)*1.3</f>
        <v/>
      </c>
      <c r="F41" s="9">
        <f>(F16)*1.3</f>
        <v/>
      </c>
      <c r="G41" s="9">
        <f>(G16)*1.3</f>
        <v/>
      </c>
      <c r="H41" s="9">
        <f>(H16)*1.3</f>
        <v/>
      </c>
      <c r="I41" s="9">
        <f>SUM(C41:H41)</f>
        <v/>
      </c>
    </row>
    <row r="42">
      <c r="A42" s="7" t="inlineStr">
        <is>
          <t>Project Operating Costs (recurring P&amp;L costs)</t>
        </is>
      </c>
      <c r="B42" s="9" t="n"/>
      <c r="C42" s="9">
        <f>C26</f>
        <v/>
      </c>
      <c r="D42" s="9">
        <f>D26</f>
        <v/>
      </c>
      <c r="E42" s="9">
        <f>E26</f>
        <v/>
      </c>
      <c r="F42" s="9">
        <f>F26</f>
        <v/>
      </c>
      <c r="G42" s="9">
        <f>G26</f>
        <v/>
      </c>
      <c r="H42" s="9">
        <f>H26</f>
        <v/>
      </c>
      <c r="I42" s="9">
        <f>SUM(C42:H42)</f>
        <v/>
      </c>
    </row>
    <row r="43">
      <c r="A43" s="7" t="inlineStr">
        <is>
          <t>Total Cash Outflows (Costs)</t>
        </is>
      </c>
      <c r="B43" s="9" t="n"/>
      <c r="C43" s="9">
        <f>C41+C42</f>
        <v/>
      </c>
      <c r="D43" s="9">
        <f>D41+D42</f>
        <v/>
      </c>
      <c r="E43" s="9">
        <f>E41+E42</f>
        <v/>
      </c>
      <c r="F43" s="9">
        <f>F41+F42</f>
        <v/>
      </c>
      <c r="G43" s="9">
        <f>G41+G42</f>
        <v/>
      </c>
      <c r="H43" s="9">
        <f>H41+H42</f>
        <v/>
      </c>
      <c r="I43" s="9">
        <f>SUM(C43:H43)</f>
        <v/>
      </c>
    </row>
    <row r="44">
      <c r="A44" s="7" t="inlineStr">
        <is>
          <t>Net Cash Inflow / (Outflow)</t>
        </is>
      </c>
      <c r="B44" s="9" t="n"/>
      <c r="C44" s="9">
        <f>SUM(C15+C43)</f>
        <v/>
      </c>
      <c r="D44" s="9">
        <f>SUM(D15+D43)</f>
        <v/>
      </c>
      <c r="E44" s="9">
        <f>SUM(E15+E43)</f>
        <v/>
      </c>
      <c r="F44" s="9">
        <f>SUM(F15+F43)</f>
        <v/>
      </c>
      <c r="G44" s="9">
        <f>SUM(G15+G43)</f>
        <v/>
      </c>
      <c r="H44" s="9">
        <f>SUM(H15+H43)</f>
        <v/>
      </c>
      <c r="I44" s="9">
        <f>SUM(C44:H44)</f>
        <v/>
      </c>
    </row>
    <row r="45">
      <c r="A45" s="7" t="inlineStr">
        <is>
          <t>Net Present Value (NPV) calculated @ 130% of Project Capital Cost</t>
        </is>
      </c>
      <c r="B45" s="11" t="n">
        <v>0.13</v>
      </c>
      <c r="C45" s="9">
        <f>NPV($B$45,C44:H44)</f>
        <v/>
      </c>
      <c r="D45" s="9" t="n"/>
      <c r="E45" s="9" t="n"/>
      <c r="F45" s="9" t="n"/>
      <c r="G45" s="9" t="n"/>
      <c r="H45" s="9" t="n"/>
      <c r="I45" s="9" t="n"/>
    </row>
    <row r="46">
      <c r="A46" s="7" t="inlineStr">
        <is>
          <t>Payback Year (PBY) / Payback Period (PBP)</t>
        </is>
      </c>
      <c r="B46" s="9" t="n"/>
      <c r="C46" s="12">
        <f>IF(C48&gt;ABS(C47),C2,IF((C48+D48)&gt;ABS(C47),D2,IF((C48+D48+E48)&gt;ABS(C47),E2,IF((C48+D48+E48+F48)&gt;ABS(C47),F2,IF((C48+D48+E48+F48+G48)&gt;ABS(C47),G2,IF((C48+D48+E48+F48+G48+H48)&gt;ABS(C47),H2,"Over 5 Yrs"))))))</f>
        <v/>
      </c>
      <c r="D46" s="9" t="n"/>
      <c r="E46" s="9" t="n"/>
      <c r="F46" s="9" t="n"/>
      <c r="G46" s="9" t="n"/>
      <c r="H46" s="9" t="n"/>
      <c r="I46" s="9" t="n"/>
    </row>
    <row r="47">
      <c r="A47" s="7" t="inlineStr">
        <is>
          <t>Capital costs</t>
        </is>
      </c>
      <c r="B47" s="9" t="n"/>
      <c r="C47" s="9">
        <f>SUM(I16)</f>
        <v/>
      </c>
      <c r="D47" s="9" t="n"/>
      <c r="E47" s="9" t="n"/>
      <c r="F47" s="9" t="n"/>
      <c r="G47" s="9" t="n"/>
      <c r="H47" s="9" t="n"/>
      <c r="I47" s="9" t="n"/>
    </row>
    <row r="48">
      <c r="A48" s="7" t="inlineStr">
        <is>
          <t>Net Operating Revenues</t>
        </is>
      </c>
      <c r="B48" s="9" t="n"/>
      <c r="C48" s="9">
        <f>SUM(C15+C26)</f>
        <v/>
      </c>
      <c r="D48" s="9">
        <f>SUM(D15+D26)</f>
        <v/>
      </c>
      <c r="E48" s="9">
        <f>SUM(E15+E26)</f>
        <v/>
      </c>
      <c r="F48" s="9">
        <f>SUM(F15+F26)</f>
        <v/>
      </c>
      <c r="G48" s="9">
        <f>SUM(G15+G26)</f>
        <v/>
      </c>
      <c r="H48" s="9">
        <f>SUM(H15+H26)</f>
        <v/>
      </c>
      <c r="I48" s="9">
        <f>SUM(C48:H48)</f>
        <v/>
      </c>
    </row>
    <row r="49">
      <c r="A49" s="2" t="inlineStr">
        <is>
          <t>Note: Grey cells contain formulas — do not overwrite. Populate white input cells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  <col width="18" customWidth="1" min="4" max="4"/>
    <col width="14" customWidth="1" min="5" max="5"/>
    <col width="18" customWidth="1" min="6" max="6"/>
    <col width="26" customWidth="1" min="7" max="7"/>
  </cols>
  <sheetData>
    <row r="1">
      <c r="A1" s="1" t="inlineStr">
        <is>
          <t>Benefit Assumptions</t>
        </is>
      </c>
    </row>
    <row r="2">
      <c r="A2" s="2" t="inlineStr">
        <is>
          <t>Every benefit claimed in Sheet 1 must have a documented assumption below.</t>
        </is>
      </c>
    </row>
    <row r="4" ht="30" customHeight="1">
      <c r="A4" s="13" t="inlineStr">
        <is>
          <t>Benefit line (Sheet 1 ref)</t>
        </is>
      </c>
      <c r="B4" s="13" t="inlineStr">
        <is>
          <t>Benefit type</t>
        </is>
      </c>
      <c r="C4" s="13" t="inlineStr">
        <is>
          <t>Assumption / basis of calculation</t>
        </is>
      </c>
      <c r="D4" s="13" t="inlineStr">
        <is>
          <t>Driver / volume</t>
        </is>
      </c>
      <c r="E4" s="13" t="inlineStr">
        <is>
          <t>Unit value</t>
        </is>
      </c>
      <c r="F4" s="13" t="inlineStr">
        <is>
          <t>Annual value (M)</t>
        </is>
      </c>
      <c r="G4" s="13" t="inlineStr">
        <is>
          <t>Source of evidence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14" t="n"/>
      <c r="B6" s="14" t="n"/>
      <c r="C6" s="14" t="n"/>
      <c r="D6" s="14" t="n"/>
      <c r="E6" s="14" t="n"/>
      <c r="F6" s="14" t="n"/>
      <c r="G6" s="14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14" t="n"/>
      <c r="B8" s="14" t="n"/>
      <c r="C8" s="14" t="n"/>
      <c r="D8" s="14" t="n"/>
      <c r="E8" s="14" t="n"/>
      <c r="F8" s="14" t="n"/>
      <c r="G8" s="14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14" t="n"/>
      <c r="B10" s="14" t="n"/>
      <c r="C10" s="14" t="n"/>
      <c r="D10" s="14" t="n"/>
      <c r="E10" s="14" t="n"/>
      <c r="F10" s="14" t="n"/>
      <c r="G10" s="14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7" t="n"/>
      <c r="B15" s="7" t="n"/>
      <c r="C15" s="7" t="n"/>
      <c r="D15" s="7" t="n"/>
      <c r="E15" s="7" t="n"/>
      <c r="F15" s="7" t="n"/>
      <c r="G15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B1" s="1" t="inlineStr">
        <is>
          <t>Definitions</t>
        </is>
      </c>
    </row>
    <row r="3">
      <c r="B3" s="15" t="inlineStr">
        <is>
          <t>Development Costs (Non-Capitalisable)</t>
        </is>
      </c>
    </row>
    <row r="4">
      <c r="B4" s="16" t="inlineStr">
        <is>
          <t>•   Inception (incl. research &amp; analysis costs)</t>
        </is>
      </c>
    </row>
    <row r="5">
      <c r="B5" s="16" t="inlineStr">
        <is>
          <t>•   Pre-project site visits, costs relating to RFI &amp; RFP</t>
        </is>
      </c>
    </row>
    <row r="6">
      <c r="B6" s="16" t="inlineStr">
        <is>
          <t>•   Pre-project costs such as business case development and evaluation</t>
        </is>
      </c>
    </row>
    <row r="8">
      <c r="B8" s="15" t="inlineStr">
        <is>
          <t>Development Costs — Capitalisable</t>
        </is>
      </c>
    </row>
    <row r="9">
      <c r="B9" s="16" t="inlineStr">
        <is>
          <t>•   Cost of procurement / development of new software</t>
        </is>
      </c>
    </row>
    <row r="10">
      <c r="B10" s="16" t="inlineStr">
        <is>
          <t>•   Development costs adding to the functionality of existing software</t>
        </is>
      </c>
    </row>
    <row r="11">
      <c r="B11" s="16" t="inlineStr">
        <is>
          <t>•   Implementation costs (including one-time handover training)</t>
        </is>
      </c>
    </row>
    <row r="12">
      <c r="B12" s="16" t="inlineStr">
        <is>
          <t>•   Hardware and middleware costs at procurement value</t>
        </is>
      </c>
    </row>
    <row r="13">
      <c r="B13" s="16" t="inlineStr">
        <is>
          <t>•   Associated infrastructure costs such as networking and environment set-up</t>
        </is>
      </c>
    </row>
    <row r="15">
      <c r="B15" s="15" t="inlineStr">
        <is>
          <t>Operating Costs</t>
        </is>
      </c>
    </row>
    <row r="16">
      <c r="B16" s="16" t="inlineStr">
        <is>
          <t>•   Increases in future business costs</t>
        </is>
      </c>
    </row>
    <row r="17">
      <c r="B17" s="16" t="inlineStr">
        <is>
          <t>•   Ongoing maintenance costs</t>
        </is>
      </c>
    </row>
    <row r="18">
      <c r="B18" s="16" t="inlineStr">
        <is>
          <t>•   Ongoing licence / AMC costs</t>
        </is>
      </c>
    </row>
    <row r="20">
      <c r="B20" s="15" t="inlineStr">
        <is>
          <t>Total Costs</t>
        </is>
      </c>
    </row>
    <row r="21">
      <c r="B21" s="16" t="inlineStr">
        <is>
          <t>•   Total costs are based on expenditure from inception to implementation</t>
        </is>
      </c>
    </row>
    <row r="22">
      <c r="B22" s="16" t="inlineStr">
        <is>
          <t>•   Costs are on a cashflow basis and separated into capital, development and operating</t>
        </is>
      </c>
    </row>
    <row r="24">
      <c r="B24" s="15" t="inlineStr">
        <is>
          <t>Net Present Value (NPV)</t>
        </is>
      </c>
    </row>
    <row r="25">
      <c r="B25" s="16" t="inlineStr">
        <is>
          <t>•   The current value of future net cash flows discounted at a predetermined rate</t>
        </is>
      </c>
    </row>
    <row r="26">
      <c r="B26" s="16" t="inlineStr">
        <is>
          <t>•   NPV represents total project benefit in currency terms and must be positive for approval</t>
        </is>
      </c>
    </row>
    <row r="28">
      <c r="B28" s="15" t="inlineStr">
        <is>
          <t>Internal Rate of Return (IRR)</t>
        </is>
      </c>
    </row>
    <row r="29">
      <c r="B29" s="16" t="inlineStr">
        <is>
          <t>•   IRR represents project efficiency or quality; the result is a percentage return</t>
        </is>
      </c>
    </row>
    <row r="30">
      <c r="B30" s="16" t="inlineStr">
        <is>
          <t>•   If the IRR is higher than the expected yield or hurdle rate, the project adds value</t>
        </is>
      </c>
    </row>
    <row r="32">
      <c r="B32" s="15" t="inlineStr">
        <is>
          <t>Depreciation</t>
        </is>
      </c>
    </row>
    <row r="33">
      <c r="B33" s="16" t="inlineStr">
        <is>
          <t>•   Software — capitalised costs incur depreciation once the asset is complete (moved from WIP)</t>
        </is>
      </c>
    </row>
    <row r="34">
      <c r="B34" s="16" t="inlineStr">
        <is>
          <t>•   Hardware — depreciation commences from the purchase date</t>
        </is>
      </c>
    </row>
    <row r="36">
      <c r="B36" s="15" t="inlineStr">
        <is>
          <t>Reporting Currency</t>
        </is>
      </c>
    </row>
    <row r="37">
      <c r="B37" s="16" t="inlineStr">
        <is>
          <t>•   All costs, revenues and other financial figures are reported in the institution's reporting currency</t>
        </is>
      </c>
    </row>
    <row r="38">
      <c r="B38" s="16" t="inlineStr">
        <is>
          <t>•   Definitions sheet uses thousands; Sheet 1 values are entered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Trust</dc:creator>
  <dc:title xmlns:dc="http://purl.org/dc/elements/1.1/">Project Costs &amp; NPV Template (TMP-CIC-003 V1.0)</dc:title>
  <dcterms:created xmlns:dcterms="http://purl.org/dc/terms/" xmlns:xsi="http://www.w3.org/2001/XMLSchema-instance" xsi:type="dcterms:W3CDTF">2026-08-19T21:28:02Z</dcterms:created>
  <dcterms:modified xmlns:dcterms="http://purl.org/dc/terms/" xmlns:xsi="http://www.w3.org/2001/XMLSchema-instance" xsi:type="dcterms:W3CDTF">2026-08-19T21:38:02Z</dcterms:modified>
  <cp:lastModifiedBy>Meridian Trust</cp:lastModifiedBy>
</cp:coreProperties>
</file>